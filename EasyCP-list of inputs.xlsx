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474\Documents\Eralp\Oxford\EasyCP\"/>
    </mc:Choice>
  </mc:AlternateContent>
  <xr:revisionPtr revIDLastSave="0" documentId="13_ncr:1_{7461EF3F-84B2-41E8-8DB2-2CCCBA065EFE}" xr6:coauthVersionLast="47" xr6:coauthVersionMax="47" xr10:uidLastSave="{00000000-0000-0000-0000-000000000000}"/>
  <bookViews>
    <workbookView xWindow="-108" yWindow="-108" windowWidth="23256" windowHeight="14016" xr2:uid="{FC797FFA-9D29-4A36-B2ED-FC1D011A802A}"/>
  </bookViews>
  <sheets>
    <sheet name="PROPS" sheetId="1" r:id="rId1"/>
    <sheet name="STATEV" sheetId="2" r:id="rId2"/>
    <sheet name="DEPV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2" i="3"/>
</calcChain>
</file>

<file path=xl/sharedStrings.xml><?xml version="1.0" encoding="utf-8"?>
<sst xmlns="http://schemas.openxmlformats.org/spreadsheetml/2006/main" count="269" uniqueCount="160">
  <si>
    <t>PROPS-1</t>
  </si>
  <si>
    <t>PROPS-2</t>
  </si>
  <si>
    <t>PROPS-3</t>
  </si>
  <si>
    <t>PROPS-4</t>
  </si>
  <si>
    <t>PROPS-5</t>
  </si>
  <si>
    <t>PROPS-6</t>
  </si>
  <si>
    <t>PROPS-7</t>
  </si>
  <si>
    <t>PROPS-8</t>
  </si>
  <si>
    <t>PROPS-9</t>
  </si>
  <si>
    <t>PROPS-10</t>
  </si>
  <si>
    <t>PROPS-11</t>
  </si>
  <si>
    <t>PROPS-12</t>
  </si>
  <si>
    <t>PROPS-13</t>
  </si>
  <si>
    <t>PROPS-14</t>
  </si>
  <si>
    <t>PROPS-15</t>
  </si>
  <si>
    <t>PROPS-16</t>
  </si>
  <si>
    <t>Bunge-1</t>
  </si>
  <si>
    <t>Bunge-2</t>
  </si>
  <si>
    <t>Bunge-3</t>
  </si>
  <si>
    <t>degrees</t>
  </si>
  <si>
    <r>
      <rPr>
        <sz val="11"/>
        <color theme="1"/>
        <rFont val="Symbol"/>
        <family val="1"/>
        <charset val="2"/>
      </rPr>
      <t>f</t>
    </r>
    <r>
      <rPr>
        <vertAlign val="subscript"/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</si>
  <si>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Symbol"/>
        <family val="1"/>
        <charset val="2"/>
      </rPr>
      <t>f</t>
    </r>
    <r>
      <rPr>
        <vertAlign val="subscript"/>
        <sz val="11"/>
        <color theme="1"/>
        <rFont val="Calibri"/>
        <family val="2"/>
        <scheme val="minor"/>
      </rPr>
      <t>2</t>
    </r>
  </si>
  <si>
    <t>F</t>
  </si>
  <si>
    <t>grain-ID</t>
  </si>
  <si>
    <t>phase-ID</t>
  </si>
  <si>
    <r>
      <t>C</t>
    </r>
    <r>
      <rPr>
        <vertAlign val="subscript"/>
        <sz val="11"/>
        <color theme="1"/>
        <rFont val="Calibri"/>
        <family val="2"/>
        <scheme val="minor"/>
      </rPr>
      <t>11</t>
    </r>
  </si>
  <si>
    <r>
      <t>C</t>
    </r>
    <r>
      <rPr>
        <vertAlign val="subscript"/>
        <sz val="11"/>
        <color theme="1"/>
        <rFont val="Calibri"/>
        <family val="2"/>
        <scheme val="minor"/>
      </rPr>
      <t>12</t>
    </r>
  </si>
  <si>
    <r>
      <t>C</t>
    </r>
    <r>
      <rPr>
        <vertAlign val="subscript"/>
        <sz val="11"/>
        <color theme="1"/>
        <rFont val="Calibri"/>
        <family val="2"/>
        <scheme val="minor"/>
      </rPr>
      <t>44</t>
    </r>
  </si>
  <si>
    <r>
      <t>C</t>
    </r>
    <r>
      <rPr>
        <vertAlign val="subscript"/>
        <sz val="11"/>
        <color theme="1"/>
        <rFont val="Calibri"/>
        <family val="2"/>
        <scheme val="minor"/>
      </rPr>
      <t>13</t>
    </r>
  </si>
  <si>
    <r>
      <t>C</t>
    </r>
    <r>
      <rPr>
        <vertAlign val="subscript"/>
        <sz val="11"/>
        <color theme="1"/>
        <rFont val="Calibri"/>
        <family val="2"/>
        <scheme val="minor"/>
      </rPr>
      <t>33</t>
    </r>
  </si>
  <si>
    <t>MPa</t>
  </si>
  <si>
    <t>BCC/FCC</t>
  </si>
  <si>
    <t>HCP</t>
  </si>
  <si>
    <r>
      <t>s</t>
    </r>
    <r>
      <rPr>
        <vertAlign val="superscript"/>
        <sz val="11"/>
        <color theme="1"/>
        <rFont val="Calibri"/>
        <family val="2"/>
        <scheme val="minor"/>
      </rPr>
      <t>-1</t>
    </r>
  </si>
  <si>
    <r>
      <rPr>
        <sz val="11"/>
        <color theme="1"/>
        <rFont val="Symbol"/>
        <family val="1"/>
        <charset val="2"/>
      </rPr>
      <t>g</t>
    </r>
    <r>
      <rPr>
        <vertAlign val="subscript"/>
        <sz val="11"/>
        <color theme="1"/>
        <rFont val="Calibri"/>
        <family val="2"/>
        <scheme val="minor"/>
      </rPr>
      <t>0</t>
    </r>
  </si>
  <si>
    <t>elastic cst.</t>
  </si>
  <si>
    <t>-</t>
  </si>
  <si>
    <t>hardening cst.</t>
  </si>
  <si>
    <t>Voce type - hardening term</t>
  </si>
  <si>
    <r>
      <t>h</t>
    </r>
    <r>
      <rPr>
        <vertAlign val="subscript"/>
        <sz val="11"/>
        <color theme="1"/>
        <rFont val="Calibri"/>
        <family val="2"/>
        <scheme val="minor"/>
      </rPr>
      <t>0</t>
    </r>
  </si>
  <si>
    <t>Voce type - saturation value of CRSS</t>
  </si>
  <si>
    <t>a</t>
  </si>
  <si>
    <t>slip rate cst.</t>
  </si>
  <si>
    <t>Power law - reference slip rate</t>
  </si>
  <si>
    <t>Power law - rate sensitivity exponent</t>
  </si>
  <si>
    <t>Voce type - hardening exponent</t>
  </si>
  <si>
    <r>
      <t>n</t>
    </r>
    <r>
      <rPr>
        <vertAlign val="subscript"/>
        <sz val="11"/>
        <color theme="1"/>
        <rFont val="Calibri"/>
        <family val="2"/>
        <scheme val="minor"/>
      </rPr>
      <t>slip</t>
    </r>
  </si>
  <si>
    <t>real(8)</t>
  </si>
  <si>
    <t>integer</t>
  </si>
  <si>
    <t>PROPS-17</t>
  </si>
  <si>
    <t># of SS</t>
  </si>
  <si>
    <t xml:space="preserve">1: BCC / 2: FCC / 3: HCP </t>
  </si>
  <si>
    <t>Euler angles in Bunge convention</t>
  </si>
  <si>
    <t>"1"  if single crystal</t>
  </si>
  <si>
    <t>STATEV-1</t>
  </si>
  <si>
    <t>STATEV-2</t>
  </si>
  <si>
    <t>STATEV-3</t>
  </si>
  <si>
    <t>STATEV-4</t>
  </si>
  <si>
    <t>STATEV-5</t>
  </si>
  <si>
    <t>STATEV-6</t>
  </si>
  <si>
    <t>STATEV-7</t>
  </si>
  <si>
    <t>STATEV-8</t>
  </si>
  <si>
    <t>STATEV-9</t>
  </si>
  <si>
    <t>STATEV-10</t>
  </si>
  <si>
    <t>STATEV-11</t>
  </si>
  <si>
    <t>STATEV-12</t>
  </si>
  <si>
    <t>STATEV-13</t>
  </si>
  <si>
    <t>STATEV-14</t>
  </si>
  <si>
    <t>STATEV-15</t>
  </si>
  <si>
    <t>STATEV-16</t>
  </si>
  <si>
    <t>STATEV-17</t>
  </si>
  <si>
    <t>STATEV-18</t>
  </si>
  <si>
    <t>STATEV-19</t>
  </si>
  <si>
    <t>Cauchy stress</t>
  </si>
  <si>
    <t>g(1,1)^T</t>
  </si>
  <si>
    <t>Crystal to sample tranformation matrix</t>
  </si>
  <si>
    <t>g(1,2)^T</t>
  </si>
  <si>
    <r>
      <t>g(1,1)</t>
    </r>
    <r>
      <rPr>
        <vertAlign val="superscript"/>
        <sz val="11"/>
        <color theme="1"/>
        <rFont val="Calibri"/>
        <family val="2"/>
        <scheme val="minor"/>
      </rPr>
      <t>T</t>
    </r>
  </si>
  <si>
    <r>
      <t>g(1,2)</t>
    </r>
    <r>
      <rPr>
        <vertAlign val="superscript"/>
        <sz val="11"/>
        <color theme="1"/>
        <rFont val="Calibri"/>
        <family val="2"/>
        <scheme val="minor"/>
      </rPr>
      <t>T</t>
    </r>
  </si>
  <si>
    <t>g(1,3)^T</t>
  </si>
  <si>
    <r>
      <t>g(1,3)</t>
    </r>
    <r>
      <rPr>
        <vertAlign val="superscript"/>
        <sz val="11"/>
        <color theme="1"/>
        <rFont val="Calibri"/>
        <family val="2"/>
        <scheme val="minor"/>
      </rPr>
      <t>T</t>
    </r>
  </si>
  <si>
    <t>g(2,1)^T</t>
  </si>
  <si>
    <r>
      <t>g(2,1)</t>
    </r>
    <r>
      <rPr>
        <vertAlign val="superscript"/>
        <sz val="11"/>
        <color theme="1"/>
        <rFont val="Calibri"/>
        <family val="2"/>
        <scheme val="minor"/>
      </rPr>
      <t>T</t>
    </r>
  </si>
  <si>
    <t>g(2,2)^T</t>
  </si>
  <si>
    <r>
      <t>g(2,2)</t>
    </r>
    <r>
      <rPr>
        <vertAlign val="superscript"/>
        <sz val="11"/>
        <color theme="1"/>
        <rFont val="Calibri"/>
        <family val="2"/>
        <scheme val="minor"/>
      </rPr>
      <t>T</t>
    </r>
  </si>
  <si>
    <t>g(2,3)^T</t>
  </si>
  <si>
    <r>
      <t>g(2,3)</t>
    </r>
    <r>
      <rPr>
        <vertAlign val="superscript"/>
        <sz val="11"/>
        <color theme="1"/>
        <rFont val="Calibri"/>
        <family val="2"/>
        <scheme val="minor"/>
      </rPr>
      <t>T</t>
    </r>
  </si>
  <si>
    <t>g(3,1)^T</t>
  </si>
  <si>
    <r>
      <t>g(3,1)</t>
    </r>
    <r>
      <rPr>
        <vertAlign val="superscript"/>
        <sz val="11"/>
        <color theme="1"/>
        <rFont val="Calibri"/>
        <family val="2"/>
        <scheme val="minor"/>
      </rPr>
      <t>T</t>
    </r>
  </si>
  <si>
    <t>g(3,2)^T</t>
  </si>
  <si>
    <r>
      <t>g(3,2)</t>
    </r>
    <r>
      <rPr>
        <vertAlign val="superscript"/>
        <sz val="11"/>
        <color theme="1"/>
        <rFont val="Calibri"/>
        <family val="2"/>
        <scheme val="minor"/>
      </rPr>
      <t>T</t>
    </r>
  </si>
  <si>
    <t>g(3,3)^T</t>
  </si>
  <si>
    <r>
      <t>g(3,3)</t>
    </r>
    <r>
      <rPr>
        <vertAlign val="superscript"/>
        <sz val="11"/>
        <color theme="1"/>
        <rFont val="Calibri"/>
        <family val="2"/>
        <scheme val="minor"/>
      </rPr>
      <t>T</t>
    </r>
  </si>
  <si>
    <t>G</t>
  </si>
  <si>
    <t>Cumulative slip</t>
  </si>
  <si>
    <t>Gamma</t>
  </si>
  <si>
    <t>number of slip systems: 
12/24/48 for BCC, 12/18 for FCC, 12/24/30 for HCP</t>
  </si>
  <si>
    <t>DEPVAR</t>
  </si>
  <si>
    <r>
      <t>n</t>
    </r>
    <r>
      <rPr>
        <b/>
        <vertAlign val="subscript"/>
        <sz val="11"/>
        <color theme="1"/>
        <rFont val="Calibri"/>
        <family val="2"/>
        <scheme val="minor"/>
      </rPr>
      <t>slip</t>
    </r>
  </si>
  <si>
    <t>EMPTY</t>
  </si>
  <si>
    <t>INIT</t>
  </si>
  <si>
    <t xml:space="preserve">Initialization flag </t>
  </si>
  <si>
    <t>q</t>
  </si>
  <si>
    <t>Latent hardening coefficient</t>
  </si>
  <si>
    <t>c/a</t>
  </si>
  <si>
    <t>c/a ratio</t>
  </si>
  <si>
    <t>PROPS-18</t>
  </si>
  <si>
    <t>c/a ratio (only used for HCP)</t>
  </si>
  <si>
    <t>PROPS-19</t>
  </si>
  <si>
    <t>PROPS-20</t>
  </si>
  <si>
    <t>tauc</t>
  </si>
  <si>
    <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Symbol"/>
        <family val="1"/>
        <charset val="2"/>
      </rPr>
      <t>1</t>
    </r>
  </si>
  <si>
    <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Symbol"/>
        <family val="1"/>
        <charset val="2"/>
      </rPr>
      <t>2</t>
    </r>
    <r>
      <rPr>
        <sz val="11"/>
        <color theme="1"/>
        <rFont val="Calibri"/>
        <family val="2"/>
        <scheme val="minor"/>
      </rPr>
      <t/>
    </r>
  </si>
  <si>
    <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48</t>
    </r>
  </si>
  <si>
    <t>CRSS of slip system - 1</t>
  </si>
  <si>
    <t>CRSS of slip system - 2</t>
  </si>
  <si>
    <t>CRSS of slip system - 48</t>
  </si>
  <si>
    <t>initial state var.</t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</si>
  <si>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11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</si>
  <si>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22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</si>
  <si>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33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</si>
  <si>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12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</si>
  <si>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13</t>
    </r>
  </si>
  <si>
    <r>
      <rPr>
        <sz val="11"/>
        <color theme="1"/>
        <rFont val="Symbol"/>
        <family val="1"/>
        <charset val="2"/>
      </rPr>
      <t>s</t>
    </r>
    <r>
      <rPr>
        <vertAlign val="subscript"/>
        <sz val="11"/>
        <color theme="1"/>
        <rFont val="Calibri"/>
        <family val="2"/>
        <scheme val="minor"/>
      </rPr>
      <t>23</t>
    </r>
  </si>
  <si>
    <t>sigma(1)</t>
  </si>
  <si>
    <t>sigma(2)</t>
  </si>
  <si>
    <t>sigma(3)</t>
  </si>
  <si>
    <t>sigma(4)</t>
  </si>
  <si>
    <t>sigma(5)</t>
  </si>
  <si>
    <t>sigma(6)</t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</si>
  <si>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S</t>
    </r>
  </si>
  <si>
    <t>STATEV-65</t>
  </si>
  <si>
    <t>*DEPVAR size must be set to 65 in the BCC case with 48 slip systems.</t>
  </si>
  <si>
    <t>n</t>
  </si>
  <si>
    <t>PROPS-21</t>
  </si>
  <si>
    <t>PROPS-22</t>
  </si>
  <si>
    <t>PROPS-23</t>
  </si>
  <si>
    <t>PROPS-24</t>
  </si>
  <si>
    <t>PROPS-25</t>
  </si>
  <si>
    <t>HCP set-1</t>
  </si>
  <si>
    <t>HCP sets 1-2</t>
  </si>
  <si>
    <t>BCC sets 1-2</t>
  </si>
  <si>
    <t>BCC set 1</t>
  </si>
  <si>
    <t>BCC sets 1-3</t>
  </si>
  <si>
    <t>FCC set 1</t>
  </si>
  <si>
    <t>FCC set 1-2</t>
  </si>
  <si>
    <t>HCP sets 1-3</t>
  </si>
  <si>
    <t>HCP sets 1-4</t>
  </si>
  <si>
    <t>HCP sets 1-5</t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</si>
  <si>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1"/>
        <charset val="2"/>
        <scheme val="minor"/>
      </rPr>
      <t xml:space="preserve"> set 1</t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</si>
  <si>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1"/>
        <charset val="2"/>
        <scheme val="minor"/>
      </rPr>
      <t xml:space="preserve"> set 2</t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</si>
  <si>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1"/>
        <charset val="2"/>
        <scheme val="minor"/>
      </rPr>
      <t xml:space="preserve"> set 3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</si>
  <si>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1"/>
        <charset val="2"/>
        <scheme val="minor"/>
      </rPr>
      <t xml:space="preserve"> set 4</t>
    </r>
    <r>
      <rPr>
        <sz val="11"/>
        <color theme="1"/>
        <rFont val="Calibri"/>
        <family val="2"/>
        <scheme val="minor"/>
      </rPr>
      <t/>
    </r>
  </si>
  <si>
    <r>
      <rPr>
        <sz val="11"/>
        <color theme="1"/>
        <rFont val="Symbol"/>
        <family val="1"/>
        <charset val="2"/>
      </rPr>
      <t>t</t>
    </r>
    <r>
      <rPr>
        <vertAlign val="subscript"/>
        <sz val="11"/>
        <color theme="1"/>
        <rFont val="Calibri"/>
        <family val="2"/>
        <scheme val="minor"/>
      </rPr>
      <t>c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1"/>
        <charset val="2"/>
        <scheme val="minor"/>
      </rPr>
      <t xml:space="preserve"> set 5</t>
    </r>
    <r>
      <rPr>
        <sz val="11"/>
        <color theme="1"/>
        <rFont val="Calibri"/>
        <family val="2"/>
        <scheme val="minor"/>
      </rPr>
      <t/>
    </r>
  </si>
  <si>
    <t>initial value of CRSS of slip sys. set 1</t>
  </si>
  <si>
    <t>initial value of CRSS of slip sys. set 2</t>
  </si>
  <si>
    <t>initial value of CRSS of slip sys. set 3</t>
  </si>
  <si>
    <t>initial value of CRSS of slip sys. set 4</t>
  </si>
  <si>
    <t>initial value of CRSS of slip sys. set 5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</si>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</sst>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3788-3BB3-422C-A753-A0DB68CB23A2}">
  <dimension ref="A1:F25"/>
  <sheetViews>
    <sheetView tabSelected="1" workbookViewId="0">
      <selection activeCell="J4" sqref="J4"/>
    </sheetView>
  </sheetViews>
  <sheetFormatPr defaultColWidth="9.109375" defaultRowHeight="14.4"/>
  <cols>
    <col min="1" max="1" width="9.5546875" style="6" bestFit="1" customWidth="1"/>
    <col min="2" max="2" width="14.5546875" style="6" bestFit="1" customWidth="1"/>
    <col min="3" max="3" width="14.5546875" style="6" customWidth="1"/>
    <col min="4" max="5" width="9.109375" style="6"/>
    <col min="6" max="6" width="34.88671875" style="6" customWidth="1"/>
    <col min="7" max="16384" width="9.109375" style="6"/>
  </cols>
  <sheetData>
    <row r="1" spans="1:6" ht="15.6">
      <c r="A1" s="6" t="s">
        <v>0</v>
      </c>
      <c r="B1" s="6" t="s">
        <v>16</v>
      </c>
      <c r="C1" s="6" t="s">
        <v>47</v>
      </c>
      <c r="D1" s="6" t="s">
        <v>19</v>
      </c>
      <c r="E1" s="7" t="s">
        <v>20</v>
      </c>
      <c r="F1" s="6" t="s">
        <v>52</v>
      </c>
    </row>
    <row r="2" spans="1:6">
      <c r="A2" s="6" t="s">
        <v>1</v>
      </c>
      <c r="B2" s="6" t="s">
        <v>17</v>
      </c>
      <c r="C2" s="6" t="s">
        <v>47</v>
      </c>
      <c r="D2" s="6" t="s">
        <v>19</v>
      </c>
      <c r="E2" s="8" t="s">
        <v>22</v>
      </c>
      <c r="F2" s="6" t="s">
        <v>52</v>
      </c>
    </row>
    <row r="3" spans="1:6" ht="15.6">
      <c r="A3" s="6" t="s">
        <v>2</v>
      </c>
      <c r="B3" s="6" t="s">
        <v>18</v>
      </c>
      <c r="C3" s="6" t="s">
        <v>47</v>
      </c>
      <c r="D3" s="6" t="s">
        <v>19</v>
      </c>
      <c r="E3" s="7" t="s">
        <v>21</v>
      </c>
      <c r="F3" s="6" t="s">
        <v>52</v>
      </c>
    </row>
    <row r="4" spans="1:6">
      <c r="A4" s="6" t="s">
        <v>3</v>
      </c>
      <c r="B4" s="6" t="s">
        <v>23</v>
      </c>
      <c r="C4" s="6" t="s">
        <v>48</v>
      </c>
      <c r="D4" s="6" t="s">
        <v>36</v>
      </c>
      <c r="E4" s="6" t="s">
        <v>36</v>
      </c>
      <c r="F4" s="6" t="s">
        <v>53</v>
      </c>
    </row>
    <row r="5" spans="1:6">
      <c r="A5" s="6" t="s">
        <v>4</v>
      </c>
      <c r="B5" s="6" t="s">
        <v>24</v>
      </c>
      <c r="C5" s="6" t="s">
        <v>48</v>
      </c>
      <c r="D5" s="6" t="s">
        <v>36</v>
      </c>
      <c r="E5" s="6" t="s">
        <v>36</v>
      </c>
      <c r="F5" s="6" t="s">
        <v>51</v>
      </c>
    </row>
    <row r="6" spans="1:6" ht="43.2">
      <c r="A6" s="6" t="s">
        <v>5</v>
      </c>
      <c r="B6" s="6" t="s">
        <v>50</v>
      </c>
      <c r="C6" s="6" t="s">
        <v>48</v>
      </c>
      <c r="D6" s="6" t="s">
        <v>36</v>
      </c>
      <c r="E6" s="6" t="s">
        <v>46</v>
      </c>
      <c r="F6" s="9" t="s">
        <v>96</v>
      </c>
    </row>
    <row r="7" spans="1:6" ht="15.6">
      <c r="A7" s="6" t="s">
        <v>6</v>
      </c>
      <c r="B7" s="6" t="s">
        <v>35</v>
      </c>
      <c r="C7" s="6" t="s">
        <v>47</v>
      </c>
      <c r="D7" s="6" t="s">
        <v>30</v>
      </c>
      <c r="E7" s="6" t="s">
        <v>25</v>
      </c>
      <c r="F7" s="6" t="s">
        <v>31</v>
      </c>
    </row>
    <row r="8" spans="1:6" ht="15.6">
      <c r="A8" s="6" t="s">
        <v>7</v>
      </c>
      <c r="B8" s="6" t="s">
        <v>35</v>
      </c>
      <c r="C8" s="6" t="s">
        <v>47</v>
      </c>
      <c r="D8" s="6" t="s">
        <v>30</v>
      </c>
      <c r="E8" s="6" t="s">
        <v>26</v>
      </c>
      <c r="F8" s="6" t="s">
        <v>31</v>
      </c>
    </row>
    <row r="9" spans="1:6" ht="15.6">
      <c r="A9" s="6" t="s">
        <v>8</v>
      </c>
      <c r="B9" s="6" t="s">
        <v>35</v>
      </c>
      <c r="C9" s="6" t="s">
        <v>47</v>
      </c>
      <c r="D9" s="6" t="s">
        <v>30</v>
      </c>
      <c r="E9" s="6" t="s">
        <v>27</v>
      </c>
      <c r="F9" s="6" t="s">
        <v>31</v>
      </c>
    </row>
    <row r="10" spans="1:6" ht="15.6">
      <c r="A10" s="6" t="s">
        <v>9</v>
      </c>
      <c r="B10" s="6" t="s">
        <v>35</v>
      </c>
      <c r="C10" s="6" t="s">
        <v>47</v>
      </c>
      <c r="D10" s="6" t="s">
        <v>30</v>
      </c>
      <c r="E10" s="6" t="s">
        <v>28</v>
      </c>
      <c r="F10" s="6" t="s">
        <v>32</v>
      </c>
    </row>
    <row r="11" spans="1:6" ht="15.6">
      <c r="A11" s="6" t="s">
        <v>10</v>
      </c>
      <c r="B11" s="6" t="s">
        <v>35</v>
      </c>
      <c r="C11" s="6" t="s">
        <v>47</v>
      </c>
      <c r="D11" s="6" t="s">
        <v>30</v>
      </c>
      <c r="E11" s="6" t="s">
        <v>29</v>
      </c>
      <c r="F11" s="6" t="s">
        <v>32</v>
      </c>
    </row>
    <row r="12" spans="1:6">
      <c r="A12" s="6" t="s">
        <v>11</v>
      </c>
      <c r="B12" s="6" t="s">
        <v>105</v>
      </c>
      <c r="C12" s="6" t="s">
        <v>47</v>
      </c>
      <c r="D12" s="6" t="s">
        <v>36</v>
      </c>
      <c r="E12" s="6" t="s">
        <v>104</v>
      </c>
      <c r="F12" s="6" t="s">
        <v>107</v>
      </c>
    </row>
    <row r="13" spans="1:6" ht="16.2">
      <c r="A13" s="6" t="s">
        <v>12</v>
      </c>
      <c r="B13" s="6" t="s">
        <v>42</v>
      </c>
      <c r="C13" s="6" t="s">
        <v>47</v>
      </c>
      <c r="D13" s="6" t="s">
        <v>33</v>
      </c>
      <c r="E13" s="7" t="s">
        <v>34</v>
      </c>
      <c r="F13" s="6" t="s">
        <v>43</v>
      </c>
    </row>
    <row r="14" spans="1:6">
      <c r="A14" s="6" t="s">
        <v>13</v>
      </c>
      <c r="B14" s="6" t="s">
        <v>42</v>
      </c>
      <c r="C14" s="6" t="s">
        <v>47</v>
      </c>
      <c r="D14" s="6" t="s">
        <v>36</v>
      </c>
      <c r="E14" s="6" t="s">
        <v>133</v>
      </c>
      <c r="F14" s="6" t="s">
        <v>44</v>
      </c>
    </row>
    <row r="15" spans="1:6">
      <c r="A15" s="6" t="s">
        <v>14</v>
      </c>
      <c r="B15" s="11" t="s">
        <v>99</v>
      </c>
      <c r="C15" s="11"/>
      <c r="D15" s="11"/>
      <c r="E15" s="11"/>
      <c r="F15" s="11"/>
    </row>
    <row r="16" spans="1:6" ht="15.6">
      <c r="A16" s="6" t="s">
        <v>15</v>
      </c>
      <c r="B16" s="6" t="s">
        <v>37</v>
      </c>
      <c r="C16" s="6" t="s">
        <v>47</v>
      </c>
      <c r="D16" s="6" t="s">
        <v>30</v>
      </c>
      <c r="E16" s="6" t="s">
        <v>39</v>
      </c>
      <c r="F16" s="6" t="s">
        <v>38</v>
      </c>
    </row>
    <row r="17" spans="1:6" ht="16.2">
      <c r="A17" s="6" t="s">
        <v>49</v>
      </c>
      <c r="B17" s="6" t="s">
        <v>37</v>
      </c>
      <c r="C17" s="6" t="s">
        <v>47</v>
      </c>
      <c r="D17" s="6" t="s">
        <v>30</v>
      </c>
      <c r="E17" s="7" t="s">
        <v>130</v>
      </c>
      <c r="F17" s="6" t="s">
        <v>40</v>
      </c>
    </row>
    <row r="18" spans="1:6">
      <c r="A18" s="6" t="s">
        <v>106</v>
      </c>
      <c r="B18" s="6" t="s">
        <v>37</v>
      </c>
      <c r="C18" s="6" t="s">
        <v>47</v>
      </c>
      <c r="D18" s="6" t="s">
        <v>36</v>
      </c>
      <c r="E18" s="6" t="s">
        <v>41</v>
      </c>
      <c r="F18" s="6" t="s">
        <v>45</v>
      </c>
    </row>
    <row r="19" spans="1:6">
      <c r="A19" s="6" t="s">
        <v>108</v>
      </c>
      <c r="B19" s="6" t="s">
        <v>37</v>
      </c>
      <c r="C19" s="6" t="s">
        <v>47</v>
      </c>
      <c r="D19" s="6" t="s">
        <v>36</v>
      </c>
      <c r="E19" s="6" t="s">
        <v>102</v>
      </c>
      <c r="F19" s="6" t="s">
        <v>103</v>
      </c>
    </row>
    <row r="20" spans="1:6">
      <c r="A20" s="6" t="s">
        <v>109</v>
      </c>
      <c r="B20" s="11" t="s">
        <v>99</v>
      </c>
      <c r="C20" s="11"/>
      <c r="D20" s="11"/>
      <c r="E20" s="11"/>
      <c r="F20" s="11"/>
    </row>
    <row r="21" spans="1:6" ht="16.2">
      <c r="A21" s="6" t="s">
        <v>134</v>
      </c>
      <c r="B21" s="6" t="s">
        <v>117</v>
      </c>
      <c r="C21" s="6" t="s">
        <v>47</v>
      </c>
      <c r="D21" s="6" t="s">
        <v>30</v>
      </c>
      <c r="E21" s="7" t="s">
        <v>149</v>
      </c>
      <c r="F21" s="6" t="s">
        <v>154</v>
      </c>
    </row>
    <row r="22" spans="1:6" ht="16.2">
      <c r="A22" s="6" t="s">
        <v>135</v>
      </c>
      <c r="B22" s="6" t="s">
        <v>117</v>
      </c>
      <c r="C22" s="6" t="s">
        <v>47</v>
      </c>
      <c r="D22" s="6" t="s">
        <v>30</v>
      </c>
      <c r="E22" s="7" t="s">
        <v>150</v>
      </c>
      <c r="F22" s="6" t="s">
        <v>155</v>
      </c>
    </row>
    <row r="23" spans="1:6" ht="16.2">
      <c r="A23" s="6" t="s">
        <v>136</v>
      </c>
      <c r="B23" s="6" t="s">
        <v>117</v>
      </c>
      <c r="C23" s="6" t="s">
        <v>47</v>
      </c>
      <c r="D23" s="6" t="s">
        <v>30</v>
      </c>
      <c r="E23" s="7" t="s">
        <v>151</v>
      </c>
      <c r="F23" s="6" t="s">
        <v>156</v>
      </c>
    </row>
    <row r="24" spans="1:6" ht="16.2">
      <c r="A24" s="6" t="s">
        <v>137</v>
      </c>
      <c r="B24" s="6" t="s">
        <v>117</v>
      </c>
      <c r="C24" s="6" t="s">
        <v>47</v>
      </c>
      <c r="D24" s="6" t="s">
        <v>30</v>
      </c>
      <c r="E24" s="7" t="s">
        <v>152</v>
      </c>
      <c r="F24" s="6" t="s">
        <v>157</v>
      </c>
    </row>
    <row r="25" spans="1:6" ht="16.2">
      <c r="A25" s="6" t="s">
        <v>138</v>
      </c>
      <c r="B25" s="6" t="s">
        <v>117</v>
      </c>
      <c r="C25" s="6" t="s">
        <v>47</v>
      </c>
      <c r="D25" s="6" t="s">
        <v>30</v>
      </c>
      <c r="E25" s="7" t="s">
        <v>153</v>
      </c>
      <c r="F25" s="6" t="s">
        <v>158</v>
      </c>
    </row>
  </sheetData>
  <mergeCells count="2">
    <mergeCell ref="B20:F20"/>
    <mergeCell ref="B15:F1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D227-4604-497E-A017-F3D730E23C0B}">
  <dimension ref="A1:F24"/>
  <sheetViews>
    <sheetView workbookViewId="0">
      <selection activeCell="I20" sqref="I20"/>
    </sheetView>
  </sheetViews>
  <sheetFormatPr defaultColWidth="9.109375" defaultRowHeight="14.4"/>
  <cols>
    <col min="1" max="1" width="16.44140625" style="2" bestFit="1" customWidth="1"/>
    <col min="2" max="2" width="12.88671875" style="2" bestFit="1" customWidth="1"/>
    <col min="3" max="5" width="9.109375" style="2"/>
    <col min="6" max="6" width="39.5546875" style="2" bestFit="1" customWidth="1"/>
    <col min="7" max="16384" width="9.109375" style="2"/>
  </cols>
  <sheetData>
    <row r="1" spans="1:6">
      <c r="A1" s="2" t="s">
        <v>54</v>
      </c>
      <c r="B1" s="2" t="s">
        <v>100</v>
      </c>
      <c r="C1" s="2" t="s">
        <v>48</v>
      </c>
      <c r="D1" s="2" t="s">
        <v>36</v>
      </c>
      <c r="E1" s="2" t="s">
        <v>36</v>
      </c>
      <c r="F1" s="2" t="s">
        <v>101</v>
      </c>
    </row>
    <row r="2" spans="1:6" ht="15.6">
      <c r="A2" s="2" t="s">
        <v>55</v>
      </c>
      <c r="B2" s="2" t="s">
        <v>124</v>
      </c>
      <c r="C2" s="2" t="s">
        <v>47</v>
      </c>
      <c r="E2" s="3" t="s">
        <v>118</v>
      </c>
      <c r="F2" s="11" t="s">
        <v>73</v>
      </c>
    </row>
    <row r="3" spans="1:6" ht="15.6">
      <c r="A3" s="2" t="s">
        <v>56</v>
      </c>
      <c r="B3" s="2" t="s">
        <v>125</v>
      </c>
      <c r="C3" s="2" t="s">
        <v>47</v>
      </c>
      <c r="E3" s="3" t="s">
        <v>119</v>
      </c>
      <c r="F3" s="11"/>
    </row>
    <row r="4" spans="1:6" ht="15.6">
      <c r="A4" s="2" t="s">
        <v>57</v>
      </c>
      <c r="B4" s="2" t="s">
        <v>126</v>
      </c>
      <c r="C4" s="2" t="s">
        <v>47</v>
      </c>
      <c r="E4" s="3" t="s">
        <v>120</v>
      </c>
      <c r="F4" s="11"/>
    </row>
    <row r="5" spans="1:6" ht="15.6">
      <c r="A5" s="2" t="s">
        <v>58</v>
      </c>
      <c r="B5" s="2" t="s">
        <v>127</v>
      </c>
      <c r="C5" s="2" t="s">
        <v>47</v>
      </c>
      <c r="E5" s="3" t="s">
        <v>121</v>
      </c>
      <c r="F5" s="11"/>
    </row>
    <row r="6" spans="1:6" ht="15.6">
      <c r="A6" s="2" t="s">
        <v>59</v>
      </c>
      <c r="B6" s="2" t="s">
        <v>128</v>
      </c>
      <c r="C6" s="2" t="s">
        <v>47</v>
      </c>
      <c r="E6" s="3" t="s">
        <v>122</v>
      </c>
      <c r="F6" s="11"/>
    </row>
    <row r="7" spans="1:6" ht="15.6">
      <c r="A7" s="2" t="s">
        <v>60</v>
      </c>
      <c r="B7" s="2" t="s">
        <v>129</v>
      </c>
      <c r="C7" s="2" t="s">
        <v>47</v>
      </c>
      <c r="E7" s="3" t="s">
        <v>123</v>
      </c>
      <c r="F7" s="11"/>
    </row>
    <row r="8" spans="1:6" ht="16.2">
      <c r="A8" s="2" t="s">
        <v>61</v>
      </c>
      <c r="B8" s="2" t="s">
        <v>74</v>
      </c>
      <c r="C8" s="2" t="s">
        <v>47</v>
      </c>
      <c r="D8" s="2" t="s">
        <v>36</v>
      </c>
      <c r="E8" s="2" t="s">
        <v>77</v>
      </c>
      <c r="F8" s="11" t="s">
        <v>75</v>
      </c>
    </row>
    <row r="9" spans="1:6" ht="16.2">
      <c r="A9" s="2" t="s">
        <v>62</v>
      </c>
      <c r="B9" s="2" t="s">
        <v>76</v>
      </c>
      <c r="C9" s="2" t="s">
        <v>47</v>
      </c>
      <c r="D9" s="2" t="s">
        <v>36</v>
      </c>
      <c r="E9" s="2" t="s">
        <v>78</v>
      </c>
      <c r="F9" s="11"/>
    </row>
    <row r="10" spans="1:6" ht="16.2">
      <c r="A10" s="2" t="s">
        <v>63</v>
      </c>
      <c r="B10" s="2" t="s">
        <v>79</v>
      </c>
      <c r="C10" s="2" t="s">
        <v>47</v>
      </c>
      <c r="D10" s="2" t="s">
        <v>36</v>
      </c>
      <c r="E10" s="2" t="s">
        <v>80</v>
      </c>
      <c r="F10" s="11"/>
    </row>
    <row r="11" spans="1:6" ht="16.2">
      <c r="A11" s="2" t="s">
        <v>64</v>
      </c>
      <c r="B11" s="2" t="s">
        <v>81</v>
      </c>
      <c r="C11" s="2" t="s">
        <v>47</v>
      </c>
      <c r="D11" s="2" t="s">
        <v>36</v>
      </c>
      <c r="E11" s="2" t="s">
        <v>82</v>
      </c>
      <c r="F11" s="11"/>
    </row>
    <row r="12" spans="1:6" ht="16.2">
      <c r="A12" s="2" t="s">
        <v>65</v>
      </c>
      <c r="B12" s="2" t="s">
        <v>83</v>
      </c>
      <c r="C12" s="2" t="s">
        <v>47</v>
      </c>
      <c r="D12" s="2" t="s">
        <v>36</v>
      </c>
      <c r="E12" s="2" t="s">
        <v>84</v>
      </c>
      <c r="F12" s="11"/>
    </row>
    <row r="13" spans="1:6" ht="16.2">
      <c r="A13" s="2" t="s">
        <v>66</v>
      </c>
      <c r="B13" s="2" t="s">
        <v>85</v>
      </c>
      <c r="C13" s="2" t="s">
        <v>47</v>
      </c>
      <c r="D13" s="2" t="s">
        <v>36</v>
      </c>
      <c r="E13" s="2" t="s">
        <v>86</v>
      </c>
      <c r="F13" s="11"/>
    </row>
    <row r="14" spans="1:6" ht="16.2">
      <c r="A14" s="2" t="s">
        <v>67</v>
      </c>
      <c r="B14" s="2" t="s">
        <v>87</v>
      </c>
      <c r="C14" s="2" t="s">
        <v>47</v>
      </c>
      <c r="D14" s="2" t="s">
        <v>36</v>
      </c>
      <c r="E14" s="2" t="s">
        <v>88</v>
      </c>
      <c r="F14" s="11"/>
    </row>
    <row r="15" spans="1:6" ht="16.2">
      <c r="A15" s="2" t="s">
        <v>68</v>
      </c>
      <c r="B15" s="2" t="s">
        <v>89</v>
      </c>
      <c r="C15" s="2" t="s">
        <v>47</v>
      </c>
      <c r="D15" s="2" t="s">
        <v>36</v>
      </c>
      <c r="E15" s="2" t="s">
        <v>90</v>
      </c>
      <c r="F15" s="11"/>
    </row>
    <row r="16" spans="1:6" ht="16.2">
      <c r="A16" s="2" t="s">
        <v>69</v>
      </c>
      <c r="B16" s="2" t="s">
        <v>91</v>
      </c>
      <c r="C16" s="2" t="s">
        <v>47</v>
      </c>
      <c r="D16" s="2" t="s">
        <v>36</v>
      </c>
      <c r="E16" s="2" t="s">
        <v>92</v>
      </c>
      <c r="F16" s="11"/>
    </row>
    <row r="17" spans="1:6">
      <c r="A17" s="2" t="s">
        <v>70</v>
      </c>
      <c r="B17" s="2" t="s">
        <v>95</v>
      </c>
      <c r="C17" s="2" t="s">
        <v>47</v>
      </c>
      <c r="D17" s="2" t="s">
        <v>36</v>
      </c>
      <c r="E17" s="4" t="s">
        <v>93</v>
      </c>
      <c r="F17" s="2" t="s">
        <v>94</v>
      </c>
    </row>
    <row r="18" spans="1:6" ht="16.8">
      <c r="A18" s="2" t="s">
        <v>71</v>
      </c>
      <c r="B18" s="2" t="s">
        <v>110</v>
      </c>
      <c r="C18" s="2" t="s">
        <v>47</v>
      </c>
      <c r="D18" s="2" t="s">
        <v>36</v>
      </c>
      <c r="E18" s="4" t="s">
        <v>111</v>
      </c>
      <c r="F18" s="2" t="s">
        <v>114</v>
      </c>
    </row>
    <row r="19" spans="1:6" ht="16.8">
      <c r="A19" s="2" t="s">
        <v>72</v>
      </c>
      <c r="B19" s="2" t="s">
        <v>110</v>
      </c>
      <c r="C19" s="2" t="s">
        <v>47</v>
      </c>
      <c r="D19" s="2" t="s">
        <v>36</v>
      </c>
      <c r="E19" s="4" t="s">
        <v>112</v>
      </c>
      <c r="F19" s="2" t="s">
        <v>115</v>
      </c>
    </row>
    <row r="20" spans="1:6">
      <c r="A20" s="2" t="s">
        <v>159</v>
      </c>
      <c r="B20" s="2" t="s">
        <v>159</v>
      </c>
      <c r="C20" s="2" t="s">
        <v>159</v>
      </c>
      <c r="D20" s="2" t="s">
        <v>159</v>
      </c>
      <c r="E20" s="2" t="s">
        <v>159</v>
      </c>
      <c r="F20" s="2" t="s">
        <v>159</v>
      </c>
    </row>
    <row r="21" spans="1:6">
      <c r="A21" s="2" t="s">
        <v>159</v>
      </c>
      <c r="B21" s="2" t="s">
        <v>159</v>
      </c>
      <c r="C21" s="2" t="s">
        <v>159</v>
      </c>
      <c r="D21" s="2" t="s">
        <v>159</v>
      </c>
      <c r="E21" s="2" t="s">
        <v>159</v>
      </c>
      <c r="F21" s="2" t="s">
        <v>159</v>
      </c>
    </row>
    <row r="22" spans="1:6" ht="16.8">
      <c r="A22" s="2" t="s">
        <v>131</v>
      </c>
      <c r="B22" s="2" t="s">
        <v>110</v>
      </c>
      <c r="C22" s="2" t="s">
        <v>47</v>
      </c>
      <c r="D22" s="2" t="s">
        <v>36</v>
      </c>
      <c r="E22" s="4" t="s">
        <v>113</v>
      </c>
      <c r="F22" s="2" t="s">
        <v>116</v>
      </c>
    </row>
    <row r="24" spans="1:6">
      <c r="A24" s="10" t="s">
        <v>132</v>
      </c>
    </row>
  </sheetData>
  <mergeCells count="2">
    <mergeCell ref="F2:F7"/>
    <mergeCell ref="F8:F16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7CF3-EB9B-4968-9156-59F8E303D2F1}">
  <dimension ref="A1:C11"/>
  <sheetViews>
    <sheetView workbookViewId="0"/>
  </sheetViews>
  <sheetFormatPr defaultRowHeight="14.4"/>
  <cols>
    <col min="1" max="1" width="11.6640625" bestFit="1" customWidth="1"/>
  </cols>
  <sheetData>
    <row r="1" spans="1:3" ht="15.6">
      <c r="A1" s="1" t="s">
        <v>24</v>
      </c>
      <c r="B1" s="5" t="s">
        <v>98</v>
      </c>
      <c r="C1" s="1" t="s">
        <v>97</v>
      </c>
    </row>
    <row r="2" spans="1:3">
      <c r="A2" s="2" t="s">
        <v>142</v>
      </c>
      <c r="B2" s="2">
        <v>12</v>
      </c>
      <c r="C2" s="2">
        <f>17+B2</f>
        <v>29</v>
      </c>
    </row>
    <row r="3" spans="1:3">
      <c r="A3" s="2" t="s">
        <v>141</v>
      </c>
      <c r="B3" s="2">
        <v>24</v>
      </c>
      <c r="C3" s="2">
        <f t="shared" ref="C3:C11" si="0">17+B3</f>
        <v>41</v>
      </c>
    </row>
    <row r="4" spans="1:3">
      <c r="A4" s="2" t="s">
        <v>143</v>
      </c>
      <c r="B4" s="2">
        <v>48</v>
      </c>
      <c r="C4" s="2">
        <f t="shared" si="0"/>
        <v>65</v>
      </c>
    </row>
    <row r="5" spans="1:3">
      <c r="A5" s="2" t="s">
        <v>144</v>
      </c>
      <c r="B5" s="2">
        <v>12</v>
      </c>
      <c r="C5" s="2">
        <f t="shared" si="0"/>
        <v>29</v>
      </c>
    </row>
    <row r="6" spans="1:3">
      <c r="A6" s="2" t="s">
        <v>145</v>
      </c>
      <c r="B6" s="2">
        <v>18</v>
      </c>
      <c r="C6" s="2">
        <f t="shared" si="0"/>
        <v>35</v>
      </c>
    </row>
    <row r="7" spans="1:3">
      <c r="A7" s="2" t="s">
        <v>139</v>
      </c>
      <c r="B7" s="2">
        <v>3</v>
      </c>
      <c r="C7" s="2">
        <f t="shared" si="0"/>
        <v>20</v>
      </c>
    </row>
    <row r="8" spans="1:3">
      <c r="A8" s="2" t="s">
        <v>140</v>
      </c>
      <c r="B8" s="2">
        <v>6</v>
      </c>
      <c r="C8" s="2">
        <f t="shared" si="0"/>
        <v>23</v>
      </c>
    </row>
    <row r="9" spans="1:3">
      <c r="A9" s="2" t="s">
        <v>146</v>
      </c>
      <c r="B9" s="2">
        <v>12</v>
      </c>
      <c r="C9" s="2">
        <f t="shared" si="0"/>
        <v>29</v>
      </c>
    </row>
    <row r="10" spans="1:3">
      <c r="A10" s="2" t="s">
        <v>147</v>
      </c>
      <c r="B10" s="2">
        <v>24</v>
      </c>
      <c r="C10" s="2">
        <f t="shared" si="0"/>
        <v>41</v>
      </c>
    </row>
    <row r="11" spans="1:3">
      <c r="A11" s="2" t="s">
        <v>148</v>
      </c>
      <c r="B11" s="2">
        <v>30</v>
      </c>
      <c r="C11" s="2">
        <f t="shared" si="0"/>
        <v>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PROPS</vt:lpstr>
      <vt:lpstr>STATEV</vt:lpstr>
      <vt:lpstr>DEPVAR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Eralp Demir</dc:creator>
  <cp:lastModifiedBy>Eralp Demir</cp:lastModifiedBy>
  <dcterms:created xsi:type="dcterms:W3CDTF">2023-11-14T18:26:18Z</dcterms:created>
  <dcterms:modified xsi:type="dcterms:W3CDTF">2025-04-09T15:28:00Z</dcterms:modified>
</cp:coreProperties>
</file>